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Realistic 12-Mo Ramp" sheetId="2" state="visible" r:id="rId2"/>
    <sheet name="Assumptions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9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4" fillId="2" borderId="0" pivotButton="0" quotePrefix="0" xfId="0"/>
    <xf numFmtId="4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3" fillId="0" borderId="0" pivotButton="0" quotePrefix="0" xfId="0"/>
    <xf numFmtId="4" fontId="3" fillId="5" borderId="1" applyAlignment="1" pivotButton="0" quotePrefix="0" xfId="0">
      <alignment horizontal="center"/>
    </xf>
    <xf numFmtId="3" fontId="3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164" fontId="0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3" borderId="1" pivotButton="0" quotePrefix="0" xfId="0"/>
    <xf numFmtId="4" fontId="0" fillId="3" borderId="1" pivotButton="0" quotePrefix="0" xfId="0"/>
    <xf numFmtId="3" fontId="0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52" customWidth="1" min="5" max="5"/>
  </cols>
  <sheetData>
    <row r="1">
      <c r="A1" s="1" t="inlineStr">
        <is>
          <t>PADEL FINANCIAL MODEL  —  Target: €10,000 NET profit / month</t>
        </is>
      </c>
    </row>
    <row r="2">
      <c r="A2" s="2" t="inlineStr">
        <is>
          <t>ALL NUMBERS ARE ASSUMPTIONS TO VALIDATE. Edit the yellow INPUT cells; green OUTPUT cells recalculate automatically.</t>
        </is>
      </c>
    </row>
    <row r="4">
      <c r="A4" s="3" t="inlineStr"/>
      <c r="B4" s="4" t="inlineStr">
        <is>
          <t>Conservative</t>
        </is>
      </c>
      <c r="C4" s="4" t="inlineStr">
        <is>
          <t>Realistic</t>
        </is>
      </c>
      <c r="D4" s="4" t="inlineStr">
        <is>
          <t>Optimistic</t>
        </is>
      </c>
      <c r="E4" s="5" t="inlineStr">
        <is>
          <t>Notes / formula</t>
        </is>
      </c>
    </row>
    <row r="5">
      <c r="A5" s="6" t="inlineStr">
        <is>
          <t>— INPUTS  (edit these) —</t>
        </is>
      </c>
      <c r="B5" s="6" t="n"/>
      <c r="C5" s="6" t="n"/>
      <c r="D5" s="6" t="n"/>
      <c r="E5" s="6" t="n"/>
    </row>
    <row r="6">
      <c r="A6" t="inlineStr">
        <is>
          <t>Average Order Value, AOV (€)</t>
        </is>
      </c>
      <c r="B6" s="7" t="n">
        <v>60</v>
      </c>
      <c r="C6" s="7" t="n">
        <v>70</v>
      </c>
      <c r="D6" s="7" t="n">
        <v>82</v>
      </c>
      <c r="E6" s="2" t="inlineStr">
        <is>
          <t>Blended cart: consumables + accessories + bundles</t>
        </is>
      </c>
    </row>
    <row r="7">
      <c r="A7" t="inlineStr">
        <is>
          <t>COGS (% of revenue)</t>
        </is>
      </c>
      <c r="B7" s="8" t="n">
        <v>0.42</v>
      </c>
      <c r="C7" s="8" t="n">
        <v>0.38</v>
      </c>
      <c r="D7" s="8" t="n">
        <v>0.36</v>
      </c>
      <c r="E7" s="2" t="inlineStr">
        <is>
          <t>Product + inbound shipping. Lower = more private-label</t>
        </is>
      </c>
    </row>
    <row r="8">
      <c r="A8" t="inlineStr">
        <is>
          <t>Return / refund rate (%)</t>
        </is>
      </c>
      <c r="B8" s="8" t="n">
        <v>0.07000000000000001</v>
      </c>
      <c r="C8" s="8" t="n">
        <v>0.05</v>
      </c>
      <c r="D8" s="8" t="n">
        <v>0.04</v>
      </c>
      <c r="E8" s="2" t="inlineStr">
        <is>
          <t>Padel gear returns are modest; validate</t>
        </is>
      </c>
    </row>
    <row r="9">
      <c r="A9" t="inlineStr">
        <is>
          <t>Return loss factor (% of returned value)</t>
        </is>
      </c>
      <c r="B9" s="8" t="n">
        <v>0.6</v>
      </c>
      <c r="C9" s="8" t="n">
        <v>0.6</v>
      </c>
      <c r="D9" s="8" t="n">
        <v>0.6</v>
      </c>
      <c r="E9" s="2" t="inlineStr">
        <is>
          <t>Share of a returned order's value you lose (ship+restock)</t>
        </is>
      </c>
    </row>
    <row r="10">
      <c r="A10" t="inlineStr">
        <is>
          <t>Payment fee (% of revenue)</t>
        </is>
      </c>
      <c r="B10" s="8" t="n">
        <v>0.025</v>
      </c>
      <c r="C10" s="8" t="n">
        <v>0.025</v>
      </c>
      <c r="D10" s="8" t="n">
        <v>0.025</v>
      </c>
      <c r="E10" s="2" t="inlineStr">
        <is>
          <t>Stripe/Shopify Payments ~2.5% (EU cards)</t>
        </is>
      </c>
    </row>
    <row r="11">
      <c r="A11" t="inlineStr">
        <is>
          <t>Payment fee (fixed €/order)</t>
        </is>
      </c>
      <c r="B11" s="7" t="n">
        <v>0.3</v>
      </c>
      <c r="C11" s="7" t="n">
        <v>0.3</v>
      </c>
      <c r="D11" s="7" t="n">
        <v>0.3</v>
      </c>
      <c r="E11" s="2" t="inlineStr">
        <is>
          <t>Per-transaction fixed component</t>
        </is>
      </c>
    </row>
    <row r="12">
      <c r="A12" t="inlineStr">
        <is>
          <t>CPM — cost / 1000 impressions (€)</t>
        </is>
      </c>
      <c r="B12" s="7" t="n">
        <v>16</v>
      </c>
      <c r="C12" s="7" t="n">
        <v>15</v>
      </c>
      <c r="D12" s="7" t="n">
        <v>14</v>
      </c>
      <c r="E12" s="2" t="inlineStr">
        <is>
          <t>Meta EU, engaged niche. VALIDATE in your accounts</t>
        </is>
      </c>
    </row>
    <row r="13">
      <c r="A13" t="inlineStr">
        <is>
          <t>CTR — click-through rate (%)</t>
        </is>
      </c>
      <c r="B13" s="8" t="n">
        <v>0.016</v>
      </c>
      <c r="C13" s="8" t="n">
        <v>0.017</v>
      </c>
      <c r="D13" s="8" t="n">
        <v>0.017</v>
      </c>
      <c r="E13" s="2" t="inlineStr">
        <is>
          <t>Strong creative in a passionate niche</t>
        </is>
      </c>
    </row>
    <row r="14">
      <c r="A14" t="inlineStr">
        <is>
          <t>CVR — landing→purchase (%)</t>
        </is>
      </c>
      <c r="B14" s="8" t="n">
        <v>0.03</v>
      </c>
      <c r="C14" s="8" t="n">
        <v>0.024</v>
      </c>
      <c r="D14" s="8" t="n">
        <v>0.021</v>
      </c>
      <c r="E14" s="2" t="inlineStr">
        <is>
          <t>Cold traffic. Bundles can lift this</t>
        </is>
      </c>
    </row>
    <row r="15">
      <c r="A15" t="inlineStr">
        <is>
          <t>Returning revenue share (% of revenue)</t>
        </is>
      </c>
      <c r="B15" s="8" t="n">
        <v>0.28</v>
      </c>
      <c r="C15" s="8" t="n">
        <v>0.33</v>
      </c>
      <c r="D15" s="8" t="n">
        <v>0.35</v>
      </c>
      <c r="E15" s="2" t="inlineStr">
        <is>
          <t>Repeat orders carry NO ad cost — your Klaviyo edge</t>
        </is>
      </c>
    </row>
    <row r="16">
      <c r="A16" t="inlineStr">
        <is>
          <t>Fixed monthly costs (€)</t>
        </is>
      </c>
      <c r="B16" s="9" t="n">
        <v>350</v>
      </c>
      <c r="C16" s="9" t="n">
        <v>350</v>
      </c>
      <c r="D16" s="9" t="n">
        <v>350</v>
      </c>
      <c r="E16" s="2" t="inlineStr">
        <is>
          <t>Shopify+apps+Klaviyo+domain (rises with scale)</t>
        </is>
      </c>
    </row>
    <row r="17">
      <c r="A17" t="inlineStr">
        <is>
          <t>Target monthly NET profit (€)</t>
        </is>
      </c>
      <c r="B17" s="9" t="n">
        <v>10000</v>
      </c>
      <c r="C17" s="9" t="n">
        <v>10000</v>
      </c>
      <c r="D17" s="9" t="n">
        <v>10000</v>
      </c>
      <c r="E17" s="2" t="inlineStr">
        <is>
          <t>Your goal</t>
        </is>
      </c>
    </row>
    <row r="19">
      <c r="A19" s="6" t="inlineStr">
        <is>
          <t>— DERIVED UNIT ECONOMICS —</t>
        </is>
      </c>
      <c r="B19" s="6" t="n"/>
      <c r="C19" s="6" t="n"/>
      <c r="D19" s="6" t="n"/>
      <c r="E19" s="6" t="n"/>
    </row>
    <row r="20">
      <c r="A20" t="inlineStr">
        <is>
          <t>CPC — cost per click (€)</t>
        </is>
      </c>
      <c r="B20" s="10">
        <f>B12/1000/B13</f>
        <v/>
      </c>
      <c r="C20" s="10">
        <f>C12/1000/C13</f>
        <v/>
      </c>
      <c r="D20" s="10">
        <f>D12/1000/D13</f>
        <v/>
      </c>
      <c r="E20" s="2">
        <f> CPM / 1000 / CTR</f>
        <v/>
      </c>
    </row>
    <row r="21">
      <c r="A21" t="inlineStr">
        <is>
          <t>CAC — cost per NEW customer (€)</t>
        </is>
      </c>
      <c r="B21" s="10">
        <f>B20/B14</f>
        <v/>
      </c>
      <c r="C21" s="10">
        <f>C20/C14</f>
        <v/>
      </c>
      <c r="D21" s="10">
        <f>D20/D14</f>
        <v/>
      </c>
      <c r="E21" s="2">
        <f> CPC / CVR</f>
        <v/>
      </c>
    </row>
    <row r="22">
      <c r="A22" t="inlineStr">
        <is>
          <t>First-order ROAS (AOV / CAC)</t>
        </is>
      </c>
      <c r="B22" s="10">
        <f>B6/B21</f>
        <v/>
      </c>
      <c r="C22" s="10">
        <f>C6/C21</f>
        <v/>
      </c>
      <c r="D22" s="10">
        <f>D6/D21</f>
        <v/>
      </c>
      <c r="E22" s="2" t="inlineStr">
        <is>
          <t>Revenue per €1 ad, first order only</t>
        </is>
      </c>
    </row>
    <row r="23">
      <c r="A23" t="inlineStr">
        <is>
          <t>Gross contribution margin (cm0)</t>
        </is>
      </c>
      <c r="B23" s="11">
        <f>1-B7-B10-B8*B9</f>
        <v/>
      </c>
      <c r="C23" s="11">
        <f>1-C7-C10-C8*C9</f>
        <v/>
      </c>
      <c r="D23" s="11">
        <f>1-D7-D10-D8*D9</f>
        <v/>
      </c>
      <c r="E23" s="2" t="inlineStr">
        <is>
          <t>Margin before ad spend &amp; fixed costs</t>
        </is>
      </c>
    </row>
    <row r="24">
      <c r="A24" s="12" t="inlineStr">
        <is>
          <t>First-order BREAK-EVEN ROAS</t>
        </is>
      </c>
      <c r="B24" s="13">
        <f>1/B23</f>
        <v/>
      </c>
      <c r="C24" s="13">
        <f>1/C23</f>
        <v/>
      </c>
      <c r="D24" s="13">
        <f>1/D23</f>
        <v/>
      </c>
      <c r="E24" s="2" t="inlineStr">
        <is>
          <t>Below this you LOSE on first order (rely on repeat)</t>
        </is>
      </c>
    </row>
    <row r="25">
      <c r="A25" t="inlineStr">
        <is>
          <t>Ad spend (% of revenue / MER)</t>
        </is>
      </c>
      <c r="B25" s="11">
        <f>(1-B15)/B22</f>
        <v/>
      </c>
      <c r="C25" s="11">
        <f>(1-C15)/C22</f>
        <v/>
      </c>
      <c r="D25" s="11">
        <f>(1-D15)/D22</f>
        <v/>
      </c>
      <c r="E25" s="2">
        <f> (1 - returning share) / first-order ROAS</f>
        <v/>
      </c>
    </row>
    <row r="26">
      <c r="A26" s="12" t="inlineStr">
        <is>
          <t>Blended ROAS (Revenue / Ad spend)</t>
        </is>
      </c>
      <c r="B26" s="13">
        <f>B22/(1-B15)</f>
        <v/>
      </c>
      <c r="C26" s="13">
        <f>C22/(1-C15)</f>
        <v/>
      </c>
      <c r="D26" s="13">
        <f>D22/(1-D15)</f>
        <v/>
      </c>
      <c r="E26" s="2" t="inlineStr">
        <is>
          <t>Lifted above first-order ROAS by repeat revenue</t>
        </is>
      </c>
    </row>
    <row r="28">
      <c r="A28" s="6" t="inlineStr">
        <is>
          <t>— WHAT IT TAKES TO HIT €10k NET / MONTH —</t>
        </is>
      </c>
      <c r="B28" s="6" t="n"/>
      <c r="C28" s="6" t="n"/>
      <c r="D28" s="6" t="n"/>
      <c r="E28" s="6" t="n"/>
    </row>
    <row r="29">
      <c r="A29" t="inlineStr">
        <is>
          <t>Net margin % (before fixed)</t>
        </is>
      </c>
      <c r="B29" s="11">
        <f>B23-B11/B6-B25</f>
        <v/>
      </c>
      <c r="C29" s="11">
        <f>C23-C11/C6-C25</f>
        <v/>
      </c>
      <c r="D29" s="11">
        <f>D23-D11/D6-D25</f>
        <v/>
      </c>
      <c r="E29" s="2">
        <f> cm0 - per-order fixed fee - ad%</f>
        <v/>
      </c>
    </row>
    <row r="30">
      <c r="A30" s="12" t="inlineStr">
        <is>
          <t>Revenue needed (€/month)</t>
        </is>
      </c>
      <c r="B30" s="14">
        <f>(B17+B16)/B29</f>
        <v/>
      </c>
      <c r="C30" s="14">
        <f>(C17+C16)/C29</f>
        <v/>
      </c>
      <c r="D30" s="14">
        <f>(D17+D16)/D29</f>
        <v/>
      </c>
      <c r="E30" s="2" t="inlineStr">
        <is>
          <t>Revenue required so NET = target</t>
        </is>
      </c>
    </row>
    <row r="31">
      <c r="A31" s="12" t="inlineStr">
        <is>
          <t>Net margin % (actual)</t>
        </is>
      </c>
      <c r="B31" s="15">
        <f>B17/B30</f>
        <v/>
      </c>
      <c r="C31" s="15">
        <f>C17/C30</f>
        <v/>
      </c>
      <c r="D31" s="15">
        <f>D17/D30</f>
        <v/>
      </c>
      <c r="E31" s="2">
        <f> Target / Revenue</f>
        <v/>
      </c>
    </row>
    <row r="32">
      <c r="A32" t="inlineStr">
        <is>
          <t>Orders / month</t>
        </is>
      </c>
      <c r="B32" s="16">
        <f>B30/B6</f>
        <v/>
      </c>
      <c r="C32" s="16">
        <f>C30/C6</f>
        <v/>
      </c>
      <c r="D32" s="16">
        <f>D30/D6</f>
        <v/>
      </c>
      <c r="E32" s="2">
        <f> Revenue / AOV</f>
        <v/>
      </c>
    </row>
    <row r="33">
      <c r="A33" s="12" t="inlineStr">
        <is>
          <t>Orders / day</t>
        </is>
      </c>
      <c r="B33" s="13">
        <f>B32/30</f>
        <v/>
      </c>
      <c r="C33" s="13">
        <f>C32/30</f>
        <v/>
      </c>
      <c r="D33" s="13">
        <f>D32/30</f>
        <v/>
      </c>
      <c r="E33" s="2">
        <f> Orders / 30</f>
        <v/>
      </c>
    </row>
    <row r="34">
      <c r="A34" t="inlineStr">
        <is>
          <t>Ad spend / month (€)</t>
        </is>
      </c>
      <c r="B34" s="16">
        <f>B30*B25</f>
        <v/>
      </c>
      <c r="C34" s="16">
        <f>C30*C25</f>
        <v/>
      </c>
      <c r="D34" s="16">
        <f>D30*D25</f>
        <v/>
      </c>
      <c r="E34" s="2" t="inlineStr">
        <is>
          <t>Working capital you must fund</t>
        </is>
      </c>
    </row>
    <row r="35">
      <c r="A35" t="inlineStr">
        <is>
          <t>New customers / month</t>
        </is>
      </c>
      <c r="B35" s="16">
        <f>B34/B21</f>
        <v/>
      </c>
      <c r="C35" s="16">
        <f>C34/C21</f>
        <v/>
      </c>
      <c r="D35" s="16">
        <f>D34/D21</f>
        <v/>
      </c>
      <c r="E35" s="2">
        <f> Ad spend / CAC</f>
        <v/>
      </c>
    </row>
    <row r="36">
      <c r="A36" t="inlineStr">
        <is>
          <t>Returning revenue / month (€)</t>
        </is>
      </c>
      <c r="B36" s="16">
        <f>B30*B15</f>
        <v/>
      </c>
      <c r="C36" s="16">
        <f>C30*C15</f>
        <v/>
      </c>
      <c r="D36" s="16">
        <f>D30*D15</f>
        <v/>
      </c>
      <c r="E36" s="2" t="inlineStr">
        <is>
          <t>No ad cost — pure retention value</t>
        </is>
      </c>
    </row>
    <row r="37">
      <c r="A37" t="inlineStr">
        <is>
          <t>Gross profit / month (€)</t>
        </is>
      </c>
      <c r="B37" s="16">
        <f>B30*B23-B32*B11</f>
        <v/>
      </c>
      <c r="C37" s="16">
        <f>C30*C23-C32*C11</f>
        <v/>
      </c>
      <c r="D37" s="16">
        <f>D30*D23-D32*D11</f>
        <v/>
      </c>
      <c r="E37" s="2" t="inlineStr">
        <is>
          <t>Before ad spend &amp; fixed</t>
        </is>
      </c>
    </row>
    <row r="38">
      <c r="A38" s="12" t="inlineStr">
        <is>
          <t>NET profit check (€)</t>
        </is>
      </c>
      <c r="B38" s="14">
        <f>B37-B34-B16</f>
        <v/>
      </c>
      <c r="C38" s="14">
        <f>C37-C34-C16</f>
        <v/>
      </c>
      <c r="D38" s="14">
        <f>D37-D34-D16</f>
        <v/>
      </c>
      <c r="E38" s="2" t="inlineStr">
        <is>
          <t>Should ≈ target (€10,000)</t>
        </is>
      </c>
    </row>
    <row r="40">
      <c r="A40" s="2" t="inlineStr">
        <is>
          <t>Reading it: Conservative needs the most revenue/orders because thin margins + weaker retention force huge volume.</t>
        </is>
      </c>
    </row>
    <row r="41">
      <c r="A41" s="2" t="inlineStr">
        <is>
          <t>Notice (Conservative): First-order ROAS &lt; Break-even ROAS → you lose on acquisition and survive ONLY on repeat purchases.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REALISTIC SCENARIO — 12-MONTH RAMP (illustrative, editable)</t>
        </is>
      </c>
    </row>
    <row r="2">
      <c r="A2" s="2" t="inlineStr">
        <is>
          <t>Months 1-2 = ad testing (loss-making by design). Edit the yellow Ad-spend &amp; CAC-multiplier cells. Other columns pull unit economics from the 'Scenarios' sheet (Realistic column C).</t>
        </is>
      </c>
    </row>
    <row r="4">
      <c r="A4" s="12" t="inlineStr">
        <is>
          <t>Monthly reorder rate (of prior customer base)</t>
        </is>
      </c>
      <c r="B4" s="17" t="n">
        <v>0.07000000000000001</v>
      </c>
      <c r="C4" s="2" t="inlineStr">
        <is>
          <t>≈ what % of all prior customers buy again each month (drives returning revenue)</t>
        </is>
      </c>
    </row>
    <row r="6" ht="30" customHeight="1">
      <c r="A6" s="18" t="inlineStr">
        <is>
          <t>Month</t>
        </is>
      </c>
      <c r="B6" s="18" t="inlineStr">
        <is>
          <t>Ad spend €
(input)</t>
        </is>
      </c>
      <c r="C6" s="18" t="inlineStr">
        <is>
          <t>CAC mult
(input)</t>
        </is>
      </c>
      <c r="D6" s="18" t="inlineStr">
        <is>
          <t>New custs</t>
        </is>
      </c>
      <c r="E6" s="18" t="inlineStr">
        <is>
          <t>Cumul. custs</t>
        </is>
      </c>
      <c r="F6" s="18" t="inlineStr">
        <is>
          <t>New rev €</t>
        </is>
      </c>
      <c r="G6" s="18" t="inlineStr">
        <is>
          <t>Returning rev €</t>
        </is>
      </c>
      <c r="H6" s="18" t="inlineStr">
        <is>
          <t>Total rev €</t>
        </is>
      </c>
      <c r="I6" s="18" t="inlineStr">
        <is>
          <t>Gross profit €</t>
        </is>
      </c>
      <c r="J6" s="18" t="inlineStr">
        <is>
          <t>Fixed €</t>
        </is>
      </c>
      <c r="K6" s="18" t="inlineStr">
        <is>
          <t>NET profit €</t>
        </is>
      </c>
      <c r="L6" s="18" t="inlineStr">
        <is>
          <t>Cumulative NET €</t>
        </is>
      </c>
    </row>
    <row r="7">
      <c r="A7" s="19" t="n">
        <v>1</v>
      </c>
      <c r="B7" s="20" t="n">
        <v>800</v>
      </c>
      <c r="C7" s="21" t="n">
        <v>1.6</v>
      </c>
      <c r="D7" s="22">
        <f>B7/(Scenarios!$C$21*C7)</f>
        <v/>
      </c>
      <c r="E7" s="22">
        <f>D7</f>
        <v/>
      </c>
      <c r="F7" s="22">
        <f>D7*Scenarios!$C$6</f>
        <v/>
      </c>
      <c r="G7" s="22" t="n">
        <v>0</v>
      </c>
      <c r="H7" s="22">
        <f>F7+G7</f>
        <v/>
      </c>
      <c r="I7" s="22">
        <f>H7*Scenarios!$C$23-(H7/Scenarios!$C$6)*Scenarios!$C$11</f>
        <v/>
      </c>
      <c r="J7" s="22">
        <f>Scenarios!$C$16</f>
        <v/>
      </c>
      <c r="K7" s="23">
        <f>I7-B7-J7</f>
        <v/>
      </c>
      <c r="L7" s="23">
        <f>K7</f>
        <v/>
      </c>
    </row>
    <row r="8">
      <c r="A8" s="19" t="n">
        <v>2</v>
      </c>
      <c r="B8" s="20" t="n">
        <v>800</v>
      </c>
      <c r="C8" s="21" t="n">
        <v>1.5</v>
      </c>
      <c r="D8" s="22">
        <f>B8/(Scenarios!$C$21*C8)</f>
        <v/>
      </c>
      <c r="E8" s="22">
        <f>E7+D8</f>
        <v/>
      </c>
      <c r="F8" s="22">
        <f>D8*Scenarios!$C$6</f>
        <v/>
      </c>
      <c r="G8" s="22">
        <f>E7*$B$4*Scenarios!$C$6</f>
        <v/>
      </c>
      <c r="H8" s="22">
        <f>F8+G8</f>
        <v/>
      </c>
      <c r="I8" s="22">
        <f>H8*Scenarios!$C$23-(H8/Scenarios!$C$6)*Scenarios!$C$11</f>
        <v/>
      </c>
      <c r="J8" s="22">
        <f>Scenarios!$C$16</f>
        <v/>
      </c>
      <c r="K8" s="23">
        <f>I8-B8-J8</f>
        <v/>
      </c>
      <c r="L8" s="23">
        <f>L7+K8</f>
        <v/>
      </c>
    </row>
    <row r="9">
      <c r="A9" s="19" t="n">
        <v>3</v>
      </c>
      <c r="B9" s="20" t="n">
        <v>1500</v>
      </c>
      <c r="C9" s="21" t="n">
        <v>1.4</v>
      </c>
      <c r="D9" s="22">
        <f>B9/(Scenarios!$C$21*C9)</f>
        <v/>
      </c>
      <c r="E9" s="22">
        <f>E8+D9</f>
        <v/>
      </c>
      <c r="F9" s="22">
        <f>D9*Scenarios!$C$6</f>
        <v/>
      </c>
      <c r="G9" s="22">
        <f>E8*$B$4*Scenarios!$C$6</f>
        <v/>
      </c>
      <c r="H9" s="22">
        <f>F9+G9</f>
        <v/>
      </c>
      <c r="I9" s="22">
        <f>H9*Scenarios!$C$23-(H9/Scenarios!$C$6)*Scenarios!$C$11</f>
        <v/>
      </c>
      <c r="J9" s="22">
        <f>Scenarios!$C$16</f>
        <v/>
      </c>
      <c r="K9" s="23">
        <f>I9-B9-J9</f>
        <v/>
      </c>
      <c r="L9" s="23">
        <f>L8+K9</f>
        <v/>
      </c>
    </row>
    <row r="10">
      <c r="A10" s="19" t="n">
        <v>4</v>
      </c>
      <c r="B10" s="20" t="n">
        <v>3000</v>
      </c>
      <c r="C10" s="21" t="n">
        <v>1.3</v>
      </c>
      <c r="D10" s="22">
        <f>B10/(Scenarios!$C$21*C10)</f>
        <v/>
      </c>
      <c r="E10" s="22">
        <f>E9+D10</f>
        <v/>
      </c>
      <c r="F10" s="22">
        <f>D10*Scenarios!$C$6</f>
        <v/>
      </c>
      <c r="G10" s="22">
        <f>E9*$B$4*Scenarios!$C$6</f>
        <v/>
      </c>
      <c r="H10" s="22">
        <f>F10+G10</f>
        <v/>
      </c>
      <c r="I10" s="22">
        <f>H10*Scenarios!$C$23-(H10/Scenarios!$C$6)*Scenarios!$C$11</f>
        <v/>
      </c>
      <c r="J10" s="22">
        <f>Scenarios!$C$16</f>
        <v/>
      </c>
      <c r="K10" s="23">
        <f>I10-B10-J10</f>
        <v/>
      </c>
      <c r="L10" s="23">
        <f>L9+K10</f>
        <v/>
      </c>
    </row>
    <row r="11">
      <c r="A11" s="19" t="n">
        <v>5</v>
      </c>
      <c r="B11" s="20" t="n">
        <v>6000</v>
      </c>
      <c r="C11" s="21" t="n">
        <v>1.2</v>
      </c>
      <c r="D11" s="22">
        <f>B11/(Scenarios!$C$21*C11)</f>
        <v/>
      </c>
      <c r="E11" s="22">
        <f>E10+D11</f>
        <v/>
      </c>
      <c r="F11" s="22">
        <f>D11*Scenarios!$C$6</f>
        <v/>
      </c>
      <c r="G11" s="22">
        <f>E10*$B$4*Scenarios!$C$6</f>
        <v/>
      </c>
      <c r="H11" s="22">
        <f>F11+G11</f>
        <v/>
      </c>
      <c r="I11" s="22">
        <f>H11*Scenarios!$C$23-(H11/Scenarios!$C$6)*Scenarios!$C$11</f>
        <v/>
      </c>
      <c r="J11" s="22">
        <f>Scenarios!$C$16</f>
        <v/>
      </c>
      <c r="K11" s="23">
        <f>I11-B11-J11</f>
        <v/>
      </c>
      <c r="L11" s="23">
        <f>L10+K11</f>
        <v/>
      </c>
    </row>
    <row r="12">
      <c r="A12" s="19" t="n">
        <v>6</v>
      </c>
      <c r="B12" s="20" t="n">
        <v>9000</v>
      </c>
      <c r="C12" s="21" t="n">
        <v>1.15</v>
      </c>
      <c r="D12" s="22">
        <f>B12/(Scenarios!$C$21*C12)</f>
        <v/>
      </c>
      <c r="E12" s="22">
        <f>E11+D12</f>
        <v/>
      </c>
      <c r="F12" s="22">
        <f>D12*Scenarios!$C$6</f>
        <v/>
      </c>
      <c r="G12" s="22">
        <f>E11*$B$4*Scenarios!$C$6</f>
        <v/>
      </c>
      <c r="H12" s="22">
        <f>F12+G12</f>
        <v/>
      </c>
      <c r="I12" s="22">
        <f>H12*Scenarios!$C$23-(H12/Scenarios!$C$6)*Scenarios!$C$11</f>
        <v/>
      </c>
      <c r="J12" s="22">
        <f>Scenarios!$C$16</f>
        <v/>
      </c>
      <c r="K12" s="23">
        <f>I12-B12-J12</f>
        <v/>
      </c>
      <c r="L12" s="23">
        <f>L11+K12</f>
        <v/>
      </c>
    </row>
    <row r="13">
      <c r="A13" s="19" t="n">
        <v>7</v>
      </c>
      <c r="B13" s="20" t="n">
        <v>12000</v>
      </c>
      <c r="C13" s="21" t="n">
        <v>1.1</v>
      </c>
      <c r="D13" s="22">
        <f>B13/(Scenarios!$C$21*C13)</f>
        <v/>
      </c>
      <c r="E13" s="22">
        <f>E12+D13</f>
        <v/>
      </c>
      <c r="F13" s="22">
        <f>D13*Scenarios!$C$6</f>
        <v/>
      </c>
      <c r="G13" s="22">
        <f>E12*$B$4*Scenarios!$C$6</f>
        <v/>
      </c>
      <c r="H13" s="22">
        <f>F13+G13</f>
        <v/>
      </c>
      <c r="I13" s="22">
        <f>H13*Scenarios!$C$23-(H13/Scenarios!$C$6)*Scenarios!$C$11</f>
        <v/>
      </c>
      <c r="J13" s="22">
        <f>Scenarios!$C$16</f>
        <v/>
      </c>
      <c r="K13" s="23">
        <f>I13-B13-J13</f>
        <v/>
      </c>
      <c r="L13" s="23">
        <f>L12+K13</f>
        <v/>
      </c>
    </row>
    <row r="14">
      <c r="A14" s="19" t="n">
        <v>8</v>
      </c>
      <c r="B14" s="20" t="n">
        <v>15000</v>
      </c>
      <c r="C14" s="21" t="n">
        <v>1.05</v>
      </c>
      <c r="D14" s="22">
        <f>B14/(Scenarios!$C$21*C14)</f>
        <v/>
      </c>
      <c r="E14" s="22">
        <f>E13+D14</f>
        <v/>
      </c>
      <c r="F14" s="22">
        <f>D14*Scenarios!$C$6</f>
        <v/>
      </c>
      <c r="G14" s="22">
        <f>E13*$B$4*Scenarios!$C$6</f>
        <v/>
      </c>
      <c r="H14" s="22">
        <f>F14+G14</f>
        <v/>
      </c>
      <c r="I14" s="22">
        <f>H14*Scenarios!$C$23-(H14/Scenarios!$C$6)*Scenarios!$C$11</f>
        <v/>
      </c>
      <c r="J14" s="22">
        <f>Scenarios!$C$16</f>
        <v/>
      </c>
      <c r="K14" s="23">
        <f>I14-B14-J14</f>
        <v/>
      </c>
      <c r="L14" s="23">
        <f>L13+K14</f>
        <v/>
      </c>
    </row>
    <row r="15">
      <c r="A15" s="19" t="n">
        <v>9</v>
      </c>
      <c r="B15" s="20" t="n">
        <v>17000</v>
      </c>
      <c r="C15" s="21" t="n">
        <v>1</v>
      </c>
      <c r="D15" s="22">
        <f>B15/(Scenarios!$C$21*C15)</f>
        <v/>
      </c>
      <c r="E15" s="22">
        <f>E14+D15</f>
        <v/>
      </c>
      <c r="F15" s="22">
        <f>D15*Scenarios!$C$6</f>
        <v/>
      </c>
      <c r="G15" s="22">
        <f>E14*$B$4*Scenarios!$C$6</f>
        <v/>
      </c>
      <c r="H15" s="22">
        <f>F15+G15</f>
        <v/>
      </c>
      <c r="I15" s="22">
        <f>H15*Scenarios!$C$23-(H15/Scenarios!$C$6)*Scenarios!$C$11</f>
        <v/>
      </c>
      <c r="J15" s="22">
        <f>Scenarios!$C$16</f>
        <v/>
      </c>
      <c r="K15" s="23">
        <f>I15-B15-J15</f>
        <v/>
      </c>
      <c r="L15" s="23">
        <f>L14+K15</f>
        <v/>
      </c>
    </row>
    <row r="16">
      <c r="A16" s="19" t="n">
        <v>10</v>
      </c>
      <c r="B16" s="20" t="n">
        <v>18500</v>
      </c>
      <c r="C16" s="21" t="n">
        <v>1</v>
      </c>
      <c r="D16" s="22">
        <f>B16/(Scenarios!$C$21*C16)</f>
        <v/>
      </c>
      <c r="E16" s="22">
        <f>E15+D16</f>
        <v/>
      </c>
      <c r="F16" s="22">
        <f>D16*Scenarios!$C$6</f>
        <v/>
      </c>
      <c r="G16" s="22">
        <f>E15*$B$4*Scenarios!$C$6</f>
        <v/>
      </c>
      <c r="H16" s="22">
        <f>F16+G16</f>
        <v/>
      </c>
      <c r="I16" s="22">
        <f>H16*Scenarios!$C$23-(H16/Scenarios!$C$6)*Scenarios!$C$11</f>
        <v/>
      </c>
      <c r="J16" s="22">
        <f>Scenarios!$C$16</f>
        <v/>
      </c>
      <c r="K16" s="23">
        <f>I16-B16-J16</f>
        <v/>
      </c>
      <c r="L16" s="23">
        <f>L15+K16</f>
        <v/>
      </c>
    </row>
    <row r="17">
      <c r="A17" s="19" t="n">
        <v>11</v>
      </c>
      <c r="B17" s="20" t="n">
        <v>19500</v>
      </c>
      <c r="C17" s="21" t="n">
        <v>1</v>
      </c>
      <c r="D17" s="22">
        <f>B17/(Scenarios!$C$21*C17)</f>
        <v/>
      </c>
      <c r="E17" s="22">
        <f>E16+D17</f>
        <v/>
      </c>
      <c r="F17" s="22">
        <f>D17*Scenarios!$C$6</f>
        <v/>
      </c>
      <c r="G17" s="22">
        <f>E16*$B$4*Scenarios!$C$6</f>
        <v/>
      </c>
      <c r="H17" s="22">
        <f>F17+G17</f>
        <v/>
      </c>
      <c r="I17" s="22">
        <f>H17*Scenarios!$C$23-(H17/Scenarios!$C$6)*Scenarios!$C$11</f>
        <v/>
      </c>
      <c r="J17" s="22">
        <f>Scenarios!$C$16</f>
        <v/>
      </c>
      <c r="K17" s="23">
        <f>I17-B17-J17</f>
        <v/>
      </c>
      <c r="L17" s="23">
        <f>L16+K17</f>
        <v/>
      </c>
    </row>
    <row r="18">
      <c r="A18" s="19" t="n">
        <v>12</v>
      </c>
      <c r="B18" s="20" t="n">
        <v>20000</v>
      </c>
      <c r="C18" s="21" t="n">
        <v>1</v>
      </c>
      <c r="D18" s="22">
        <f>B18/(Scenarios!$C$21*C18)</f>
        <v/>
      </c>
      <c r="E18" s="22">
        <f>E17+D18</f>
        <v/>
      </c>
      <c r="F18" s="22">
        <f>D18*Scenarios!$C$6</f>
        <v/>
      </c>
      <c r="G18" s="22">
        <f>E17*$B$4*Scenarios!$C$6</f>
        <v/>
      </c>
      <c r="H18" s="22">
        <f>F18+G18</f>
        <v/>
      </c>
      <c r="I18" s="22">
        <f>H18*Scenarios!$C$23-(H18/Scenarios!$C$6)*Scenarios!$C$11</f>
        <v/>
      </c>
      <c r="J18" s="22">
        <f>Scenarios!$C$16</f>
        <v/>
      </c>
      <c r="K18" s="23">
        <f>I18-B18-J18</f>
        <v/>
      </c>
      <c r="L18" s="23">
        <f>L17+K18</f>
        <v/>
      </c>
    </row>
    <row r="20">
      <c r="A20" s="2" t="inlineStr">
        <is>
          <t>Illustrative ramp: early months are negative on purpose (validation). NET turns positive once retention + scale compound. Tune ad-spend to your real cash runway.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PADEL FINANCIAL MODEL — READ ME</t>
        </is>
      </c>
    </row>
    <row r="2">
      <c r="A2" t="inlineStr"/>
    </row>
    <row r="3">
      <c r="A3" s="2" t="inlineStr">
        <is>
          <t>Every figure here is an ASSUMPTION you must validate with your own data. Treat outputs as a</t>
        </is>
      </c>
    </row>
    <row r="4">
      <c r="A4" s="2" t="inlineStr">
        <is>
          <t>planning compass, not a promise. There is no guaranteed winning product.</t>
        </is>
      </c>
    </row>
    <row r="5">
      <c r="A5" t="inlineStr"/>
    </row>
    <row r="6">
      <c r="A6" s="12" t="inlineStr">
        <is>
          <t>HOW THE MODEL WORKS</t>
        </is>
      </c>
    </row>
    <row r="7">
      <c r="A7" t="inlineStr">
        <is>
          <t>• Yellow cells = inputs you edit. Green/blue cells = formulas that recalc automatically.</t>
        </is>
      </c>
    </row>
    <row r="8">
      <c r="A8" t="inlineStr">
        <is>
          <t>• CAC is derived from your funnel: CPC = CPM/1000/CTR, then CAC = CPC/CVR.</t>
        </is>
      </c>
    </row>
    <row r="9">
      <c r="A9" t="inlineStr">
        <is>
          <t>• 'Returning revenue share' is the % of monthly revenue from repeat customers — it carries NO</t>
        </is>
      </c>
    </row>
    <row r="10">
      <c r="A10" t="inlineStr">
        <is>
          <t xml:space="preserve">  ad cost, so it directly lifts blended ROAS and net margin. This is where Klaviyo retention pays off.</t>
        </is>
      </c>
    </row>
    <row r="11">
      <c r="A11" t="inlineStr">
        <is>
          <t>• Revenue-needed is solved so NET profit = your €10k target for each scenario.</t>
        </is>
      </c>
    </row>
    <row r="12">
      <c r="A12" t="inlineStr"/>
    </row>
    <row r="13">
      <c r="A13" s="12" t="inlineStr">
        <is>
          <t>KEY BENCHMARKS TO VALIDATE (sources: 2026 market research — see business-plan.md)</t>
        </is>
      </c>
    </row>
    <row r="14">
      <c r="A14" t="inlineStr">
        <is>
          <t>• AOV €60–82: blended cart of consumables (balls, grips), accessories (bags, dampeners) and bundles.</t>
        </is>
      </c>
    </row>
    <row r="15">
      <c r="A15" t="inlineStr">
        <is>
          <t>• COGS 36–42%: depends on resale (branded balls/rackets, lower margin) vs private-label (grips/bags, higher).</t>
        </is>
      </c>
    </row>
    <row r="16">
      <c r="A16" t="inlineStr">
        <is>
          <t>• CPM €14–16 / CTR 1.6–1.7% / CVR 2.1–3.0%: Meta, EU, engaged niche — YOUR accounts will differ.</t>
        </is>
      </c>
    </row>
    <row r="17">
      <c r="A17" t="inlineStr">
        <is>
          <t>• Return rate 4–7%: padel hard goods return modestly; sizing on shoes/apparel raises it.</t>
        </is>
      </c>
    </row>
    <row r="18">
      <c r="A18" t="inlineStr">
        <is>
          <t>• Returning revenue share 28–35%: achievable with a strong replenishment + flow program, NOT guaranteed.</t>
        </is>
      </c>
    </row>
    <row r="19">
      <c r="A19" t="inlineStr"/>
    </row>
    <row r="20">
      <c r="A20" s="12" t="inlineStr">
        <is>
          <t>THE HONEST TAKEAWAYS</t>
        </is>
      </c>
    </row>
    <row r="21">
      <c r="A21" t="inlineStr">
        <is>
          <t>1. At mid-ticket AOV with ~40% COGS, first-order ROAS is often near break-even — you do NOT get rich on</t>
        </is>
      </c>
    </row>
    <row r="22">
      <c r="A22" t="inlineStr">
        <is>
          <t xml:space="preserve">   the first sale. Profit comes from repeat purchases (consumables) and disciplined CAC.</t>
        </is>
      </c>
    </row>
    <row r="23">
      <c r="A23" t="inlineStr">
        <is>
          <t>2. The Conservative column shows the danger of thin margins: it needs ~€96k/mo revenue for €10k net.</t>
        </is>
      </c>
    </row>
    <row r="24">
      <c r="A24" t="inlineStr">
        <is>
          <t xml:space="preserve">   Improving AOV, COGS and retention (Realistic/Optimistic) collapses the revenue required.</t>
        </is>
      </c>
    </row>
    <row r="25">
      <c r="A25" t="inlineStr">
        <is>
          <t>3. Scaling ad spend ties up real cash. Fund the ramp from the working-capital line, not from hoped-for profit.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2026-06-27T20:21:21Z</dcterms:created>
  <dcterms:modified xsi:type="dcterms:W3CDTF">2026-06-27T20:21:21Z</dcterms:modified>
</cp:coreProperties>
</file>